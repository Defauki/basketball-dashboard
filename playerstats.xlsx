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rzohr/Basketball/basketball_dashboard/"/>
    </mc:Choice>
  </mc:AlternateContent>
  <xr:revisionPtr revIDLastSave="0" documentId="13_ncr:1_{6D0DA8AA-D266-434C-956E-8EC1C79A522A}" xr6:coauthVersionLast="47" xr6:coauthVersionMax="47" xr10:uidLastSave="{00000000-0000-0000-0000-000000000000}"/>
  <bookViews>
    <workbookView xWindow="18000" yWindow="800" windowWidth="18000" windowHeight="20900" activeTab="1" xr2:uid="{1F7BC3D2-E3C4-B846-A39F-95531679D222}"/>
  </bookViews>
  <sheets>
    <sheet name="Tabelle1" sheetId="1" r:id="rId1"/>
    <sheet name="Tabelle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5" i="2" l="1"/>
  <c r="D155" i="2"/>
  <c r="E155" i="2"/>
  <c r="F155" i="2"/>
  <c r="G155" i="2"/>
  <c r="H155" i="2"/>
  <c r="I155" i="2"/>
  <c r="J155" i="2"/>
  <c r="B155" i="2"/>
  <c r="C147" i="2"/>
  <c r="D147" i="2"/>
  <c r="E147" i="2"/>
  <c r="F147" i="2"/>
  <c r="G147" i="2"/>
  <c r="H147" i="2"/>
  <c r="I147" i="2"/>
  <c r="J147" i="2"/>
  <c r="B147" i="2"/>
  <c r="C137" i="2"/>
  <c r="D137" i="2"/>
  <c r="E137" i="2"/>
  <c r="F137" i="2"/>
  <c r="G137" i="2"/>
  <c r="H137" i="2"/>
  <c r="I137" i="2"/>
  <c r="J137" i="2"/>
  <c r="B137" i="2"/>
  <c r="C130" i="2"/>
  <c r="D130" i="2"/>
  <c r="E130" i="2"/>
  <c r="F130" i="2"/>
  <c r="G130" i="2"/>
  <c r="H130" i="2"/>
  <c r="I130" i="2"/>
  <c r="J130" i="2"/>
  <c r="B130" i="2"/>
  <c r="C118" i="2"/>
  <c r="D118" i="2"/>
  <c r="E118" i="2"/>
  <c r="F118" i="2"/>
  <c r="G118" i="2"/>
  <c r="I118" i="2"/>
  <c r="J118" i="2"/>
  <c r="B118" i="2"/>
  <c r="C110" i="2"/>
  <c r="D110" i="2"/>
  <c r="E110" i="2"/>
  <c r="F110" i="2"/>
  <c r="G110" i="2"/>
  <c r="I110" i="2"/>
  <c r="J110" i="2"/>
  <c r="B110" i="2"/>
  <c r="C97" i="2"/>
  <c r="D97" i="2"/>
  <c r="E97" i="2"/>
  <c r="F97" i="2"/>
  <c r="G97" i="2"/>
  <c r="I97" i="2"/>
  <c r="J97" i="2"/>
  <c r="B97" i="2"/>
  <c r="C87" i="2"/>
  <c r="D87" i="2"/>
  <c r="E87" i="2"/>
  <c r="F87" i="2"/>
  <c r="G87" i="2"/>
  <c r="I87" i="2"/>
  <c r="J87" i="2"/>
  <c r="B87" i="2"/>
  <c r="C75" i="2"/>
  <c r="D75" i="2"/>
  <c r="E75" i="2"/>
  <c r="F75" i="2"/>
  <c r="G75" i="2"/>
  <c r="I75" i="2"/>
  <c r="J75" i="2"/>
  <c r="B75" i="2"/>
  <c r="C47" i="2"/>
  <c r="D47" i="2"/>
  <c r="E47" i="2"/>
  <c r="F47" i="2"/>
  <c r="G47" i="2"/>
  <c r="I47" i="2"/>
  <c r="J47" i="2"/>
  <c r="B47" i="2"/>
  <c r="C62" i="2"/>
  <c r="D62" i="2"/>
  <c r="E62" i="2"/>
  <c r="F62" i="2"/>
  <c r="G62" i="2"/>
  <c r="I62" i="2"/>
  <c r="J62" i="2"/>
  <c r="B62" i="2"/>
  <c r="C35" i="2"/>
  <c r="D35" i="2"/>
  <c r="E35" i="2"/>
  <c r="F35" i="2"/>
  <c r="G35" i="2"/>
  <c r="I35" i="2"/>
  <c r="J35" i="2"/>
  <c r="B35" i="2"/>
  <c r="C24" i="2"/>
  <c r="D24" i="2"/>
  <c r="E24" i="2"/>
  <c r="F24" i="2"/>
  <c r="G24" i="2"/>
  <c r="I24" i="2"/>
  <c r="J24" i="2"/>
  <c r="B24" i="2"/>
  <c r="J9" i="2"/>
  <c r="I9" i="2"/>
  <c r="G9" i="2"/>
  <c r="F9" i="2"/>
  <c r="E9" i="2"/>
  <c r="D9" i="2"/>
  <c r="C9" i="2"/>
  <c r="B9" i="2"/>
</calcChain>
</file>

<file path=xl/sharedStrings.xml><?xml version="1.0" encoding="utf-8"?>
<sst xmlns="http://schemas.openxmlformats.org/spreadsheetml/2006/main" count="161" uniqueCount="34">
  <si>
    <t>PTS</t>
  </si>
  <si>
    <t>2P</t>
  </si>
  <si>
    <t>3P</t>
  </si>
  <si>
    <t>WT</t>
  </si>
  <si>
    <t>FW %</t>
  </si>
  <si>
    <t>PF</t>
  </si>
  <si>
    <t>EFF</t>
  </si>
  <si>
    <t>54.5%</t>
  </si>
  <si>
    <t>0.0%</t>
  </si>
  <si>
    <t>50.0%</t>
  </si>
  <si>
    <t>Davis, Charles</t>
  </si>
  <si>
    <t>Raphael Starklauf</t>
  </si>
  <si>
    <t>(Spiele: 6)</t>
  </si>
  <si>
    <t>Made</t>
  </si>
  <si>
    <t>Attempts</t>
  </si>
  <si>
    <t>Giulio Hellmann</t>
  </si>
  <si>
    <t>(5 Spiele)</t>
  </si>
  <si>
    <t>Chris Herzog</t>
  </si>
  <si>
    <t>Patrick Dykes</t>
  </si>
  <si>
    <t>Steffen Engert</t>
  </si>
  <si>
    <t>(6 Spiele)</t>
  </si>
  <si>
    <t>Ahmadreza Noori</t>
  </si>
  <si>
    <t>(3 Spiele)</t>
  </si>
  <si>
    <t>Michael Goodluck</t>
  </si>
  <si>
    <t>0.00%</t>
  </si>
  <si>
    <t>James Collie</t>
  </si>
  <si>
    <t>Roman Zubkov</t>
  </si>
  <si>
    <t>Michael Obermeit</t>
  </si>
  <si>
    <t>(2 Spiele)</t>
  </si>
  <si>
    <t>Alexander Mikuta</t>
  </si>
  <si>
    <t>Marvin Starklauf</t>
  </si>
  <si>
    <t>(1 Spiel)</t>
  </si>
  <si>
    <t>Arsenii Dubovyk</t>
  </si>
  <si>
    <t>Charles Davis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</si>
</sst>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0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10" fontId="3" fillId="0" borderId="0" xfId="0" applyNumberFormat="1" applyFont="1"/>
    <xf numFmtId="9" fontId="3" fillId="0" borderId="0" xfId="0" applyNumberFormat="1" applyFont="1"/>
    <xf numFmtId="0" fontId="5" fillId="0" borderId="0" xfId="0" applyFont="1"/>
    <xf numFmtId="0" fontId="5" fillId="2" borderId="0" xfId="0" applyFont="1" applyFill="1"/>
    <xf numFmtId="0" fontId="4" fillId="2" borderId="0" xfId="0" applyFont="1" applyFill="1"/>
    <xf numFmtId="0" fontId="3" fillId="0" borderId="0" xfId="0" applyFon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91275-2E52-BA4D-AC78-C4CDA27D23DB}">
  <dimension ref="A1:J100"/>
  <sheetViews>
    <sheetView topLeftCell="A16" workbookViewId="0">
      <selection activeCell="B43" sqref="B43:J43"/>
    </sheetView>
  </sheetViews>
  <sheetFormatPr baseColWidth="10" defaultRowHeight="16" x14ac:dyDescent="0.2"/>
  <cols>
    <col min="1" max="1" width="16.5" bestFit="1" customWidth="1"/>
    <col min="2" max="2" width="6.83203125" customWidth="1"/>
  </cols>
  <sheetData>
    <row r="1" spans="1:10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">
      <c r="A2" s="1"/>
    </row>
    <row r="3" spans="1:10" x14ac:dyDescent="0.2">
      <c r="A3" s="1"/>
    </row>
    <row r="4" spans="1:10" x14ac:dyDescent="0.2">
      <c r="A4" s="1"/>
      <c r="H4" s="2"/>
    </row>
    <row r="5" spans="1:10" x14ac:dyDescent="0.2">
      <c r="A5" s="1"/>
    </row>
    <row r="6" spans="1:10" x14ac:dyDescent="0.2">
      <c r="A6" s="1"/>
    </row>
    <row r="7" spans="1:10" x14ac:dyDescent="0.2">
      <c r="A7" s="1"/>
    </row>
    <row r="8" spans="1:10" x14ac:dyDescent="0.2">
      <c r="A8" s="1"/>
    </row>
    <row r="9" spans="1:10" x14ac:dyDescent="0.2">
      <c r="A9" s="1"/>
    </row>
    <row r="16" spans="1:10" x14ac:dyDescent="0.2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2">
      <c r="A17" s="5"/>
    </row>
    <row r="18" spans="1:10" x14ac:dyDescent="0.2">
      <c r="A18" s="5"/>
    </row>
    <row r="19" spans="1:10" x14ac:dyDescent="0.2">
      <c r="A19" s="5"/>
      <c r="B19" s="4"/>
      <c r="C19" s="4"/>
      <c r="D19" s="4"/>
      <c r="E19" s="4"/>
      <c r="F19" s="4"/>
      <c r="G19" s="4"/>
      <c r="H19" s="4"/>
      <c r="I19" s="4"/>
      <c r="J19" s="4"/>
    </row>
    <row r="20" spans="1:10" x14ac:dyDescent="0.2">
      <c r="A20" s="5"/>
    </row>
    <row r="21" spans="1:10" x14ac:dyDescent="0.2">
      <c r="A21" s="5"/>
    </row>
    <row r="22" spans="1:10" x14ac:dyDescent="0.2">
      <c r="A22" s="5"/>
    </row>
    <row r="23" spans="1:10" x14ac:dyDescent="0.2">
      <c r="A23" s="5"/>
    </row>
    <row r="24" spans="1:10" x14ac:dyDescent="0.2">
      <c r="A24" s="5"/>
    </row>
    <row r="25" spans="1:10" x14ac:dyDescent="0.2">
      <c r="A25" s="5" t="s">
        <v>10</v>
      </c>
    </row>
    <row r="33" spans="1:10" x14ac:dyDescent="0.2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">
      <c r="A34" s="5"/>
    </row>
    <row r="35" spans="1:10" x14ac:dyDescent="0.2">
      <c r="A35" s="5"/>
      <c r="B35" s="4"/>
      <c r="C35" s="4"/>
      <c r="D35" s="4"/>
      <c r="E35" s="4"/>
      <c r="F35" s="4"/>
      <c r="G35" s="4"/>
      <c r="H35" s="7"/>
      <c r="I35" s="4"/>
      <c r="J35" s="4"/>
    </row>
    <row r="36" spans="1:10" x14ac:dyDescent="0.2">
      <c r="A36" s="5"/>
    </row>
    <row r="37" spans="1:10" x14ac:dyDescent="0.2">
      <c r="A37" s="5"/>
      <c r="B37" s="4"/>
      <c r="C37" s="4"/>
      <c r="D37" s="4"/>
      <c r="E37" s="4"/>
      <c r="F37" s="4"/>
      <c r="G37" s="4"/>
      <c r="H37" s="6"/>
      <c r="I37" s="4"/>
      <c r="J37" s="4"/>
    </row>
    <row r="38" spans="1:10" x14ac:dyDescent="0.2">
      <c r="A38" s="5"/>
    </row>
    <row r="39" spans="1:10" x14ac:dyDescent="0.2">
      <c r="A39" s="5"/>
    </row>
    <row r="40" spans="1:10" x14ac:dyDescent="0.2">
      <c r="A40" s="5"/>
    </row>
    <row r="41" spans="1:10" x14ac:dyDescent="0.2">
      <c r="A41" s="5"/>
    </row>
    <row r="42" spans="1:10" x14ac:dyDescent="0.2">
      <c r="A42" s="5"/>
    </row>
    <row r="43" spans="1:10" x14ac:dyDescent="0.2">
      <c r="A43" s="5" t="s">
        <v>10</v>
      </c>
    </row>
    <row r="44" spans="1:10" x14ac:dyDescent="0.2">
      <c r="A44" s="5"/>
    </row>
    <row r="49" spans="1:10" x14ac:dyDescent="0.2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 x14ac:dyDescent="0.2">
      <c r="A50" s="5"/>
    </row>
    <row r="51" spans="1:10" x14ac:dyDescent="0.2">
      <c r="A51" s="5"/>
      <c r="B51" s="4"/>
      <c r="C51" s="4"/>
      <c r="D51" s="4"/>
      <c r="E51" s="4"/>
      <c r="F51" s="4"/>
      <c r="G51" s="4"/>
      <c r="H51" s="6"/>
      <c r="I51" s="4"/>
      <c r="J51" s="4"/>
    </row>
    <row r="52" spans="1:10" x14ac:dyDescent="0.2">
      <c r="A52" s="5"/>
    </row>
    <row r="53" spans="1:10" x14ac:dyDescent="0.2">
      <c r="A53" s="5"/>
    </row>
    <row r="54" spans="1:10" x14ac:dyDescent="0.2">
      <c r="A54" s="5"/>
    </row>
    <row r="55" spans="1:10" x14ac:dyDescent="0.2">
      <c r="A55" s="5"/>
    </row>
    <row r="56" spans="1:10" x14ac:dyDescent="0.2">
      <c r="A56" s="5"/>
    </row>
    <row r="57" spans="1:10" x14ac:dyDescent="0.2">
      <c r="A57" s="5"/>
    </row>
    <row r="58" spans="1:10" x14ac:dyDescent="0.2">
      <c r="A58" s="5"/>
    </row>
    <row r="63" spans="1:10" x14ac:dyDescent="0.2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 x14ac:dyDescent="0.2">
      <c r="A64" s="5"/>
    </row>
    <row r="65" spans="1:10" x14ac:dyDescent="0.2">
      <c r="A65" s="5"/>
    </row>
    <row r="66" spans="1:10" x14ac:dyDescent="0.2">
      <c r="A66" s="5"/>
    </row>
    <row r="67" spans="1:10" x14ac:dyDescent="0.2">
      <c r="A67" s="5"/>
    </row>
    <row r="68" spans="1:10" x14ac:dyDescent="0.2">
      <c r="A68" s="5"/>
    </row>
    <row r="69" spans="1:10" x14ac:dyDescent="0.2">
      <c r="A69" s="5"/>
    </row>
    <row r="70" spans="1:10" x14ac:dyDescent="0.2">
      <c r="A70" s="5"/>
    </row>
    <row r="71" spans="1:10" x14ac:dyDescent="0.2">
      <c r="A71" s="5"/>
    </row>
    <row r="72" spans="1:10" x14ac:dyDescent="0.2">
      <c r="A72" s="5"/>
      <c r="B72" s="4"/>
      <c r="C72" s="4"/>
      <c r="D72" s="4"/>
      <c r="E72" s="4"/>
      <c r="F72" s="4"/>
      <c r="G72" s="4"/>
      <c r="H72" s="6"/>
      <c r="I72" s="4"/>
      <c r="J72" s="4"/>
    </row>
    <row r="78" spans="1:10" x14ac:dyDescent="0.2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 x14ac:dyDescent="0.2">
      <c r="A79" s="5"/>
      <c r="B79" s="4"/>
      <c r="C79" s="4"/>
      <c r="D79" s="4"/>
      <c r="E79" s="4"/>
      <c r="F79" s="4"/>
      <c r="G79" s="4"/>
      <c r="H79" s="6"/>
      <c r="I79" s="4"/>
      <c r="J79" s="4"/>
    </row>
    <row r="80" spans="1:10" x14ac:dyDescent="0.2">
      <c r="A80" s="5"/>
    </row>
    <row r="81" spans="1:10" x14ac:dyDescent="0.2">
      <c r="A81" s="5"/>
    </row>
    <row r="82" spans="1:10" x14ac:dyDescent="0.2">
      <c r="A82" s="5"/>
    </row>
    <row r="83" spans="1:10" x14ac:dyDescent="0.2">
      <c r="A83" s="5"/>
    </row>
    <row r="84" spans="1:10" x14ac:dyDescent="0.2">
      <c r="A84" s="5"/>
    </row>
    <row r="85" spans="1:10" x14ac:dyDescent="0.2">
      <c r="A85" s="5"/>
    </row>
    <row r="90" spans="1:10" x14ac:dyDescent="0.2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2">
      <c r="A91" s="1"/>
    </row>
    <row r="92" spans="1:10" x14ac:dyDescent="0.2">
      <c r="A92" s="1"/>
    </row>
    <row r="93" spans="1:10" x14ac:dyDescent="0.2">
      <c r="A93" s="1"/>
    </row>
    <row r="94" spans="1:10" x14ac:dyDescent="0.2">
      <c r="A94" s="1"/>
    </row>
    <row r="95" spans="1:10" x14ac:dyDescent="0.2">
      <c r="A95" s="1"/>
    </row>
    <row r="96" spans="1:10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57AC7-9512-904C-AB92-E3FB55CF3963}">
  <dimension ref="A1:J155"/>
  <sheetViews>
    <sheetView tabSelected="1" workbookViewId="0">
      <selection activeCell="G13" sqref="G13"/>
    </sheetView>
  </sheetViews>
  <sheetFormatPr baseColWidth="10" defaultRowHeight="16" x14ac:dyDescent="0.2"/>
  <cols>
    <col min="1" max="1" width="15.83203125" bestFit="1" customWidth="1"/>
  </cols>
  <sheetData>
    <row r="1" spans="1:10" x14ac:dyDescent="0.2">
      <c r="A1" s="8" t="s">
        <v>11</v>
      </c>
      <c r="C1" t="s">
        <v>12</v>
      </c>
    </row>
    <row r="2" spans="1:10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13</v>
      </c>
      <c r="G2" s="1" t="s">
        <v>14</v>
      </c>
      <c r="H2" s="1" t="s">
        <v>4</v>
      </c>
      <c r="I2" s="1" t="s">
        <v>5</v>
      </c>
      <c r="J2" s="1" t="s">
        <v>6</v>
      </c>
    </row>
    <row r="3" spans="1:10" x14ac:dyDescent="0.2">
      <c r="B3">
        <v>16</v>
      </c>
      <c r="C3">
        <v>4</v>
      </c>
      <c r="D3">
        <v>1</v>
      </c>
      <c r="E3">
        <v>5</v>
      </c>
      <c r="F3">
        <v>5</v>
      </c>
      <c r="G3">
        <v>7</v>
      </c>
      <c r="H3" s="2">
        <v>0.71399999999999997</v>
      </c>
      <c r="I3">
        <v>2</v>
      </c>
      <c r="J3">
        <v>19</v>
      </c>
    </row>
    <row r="4" spans="1:10" x14ac:dyDescent="0.2">
      <c r="B4" s="4">
        <v>13</v>
      </c>
      <c r="C4" s="4">
        <v>4</v>
      </c>
      <c r="D4" s="4">
        <v>1</v>
      </c>
      <c r="E4" s="4">
        <v>5</v>
      </c>
      <c r="F4" s="4">
        <v>2</v>
      </c>
      <c r="G4" s="4">
        <v>2</v>
      </c>
      <c r="H4" s="7">
        <v>1</v>
      </c>
      <c r="I4" s="4">
        <v>2</v>
      </c>
      <c r="J4" s="4">
        <v>18</v>
      </c>
    </row>
    <row r="5" spans="1:10" x14ac:dyDescent="0.2">
      <c r="B5" s="4">
        <v>15</v>
      </c>
      <c r="C5" s="4">
        <v>3</v>
      </c>
      <c r="D5" s="4">
        <v>2</v>
      </c>
      <c r="E5" s="4">
        <v>5</v>
      </c>
      <c r="F5" s="4">
        <v>3</v>
      </c>
      <c r="G5" s="4">
        <v>3</v>
      </c>
      <c r="H5" s="7">
        <v>1</v>
      </c>
      <c r="I5" s="4">
        <v>3</v>
      </c>
      <c r="J5" s="4">
        <v>20</v>
      </c>
    </row>
    <row r="6" spans="1:10" x14ac:dyDescent="0.2">
      <c r="B6" s="4">
        <v>30</v>
      </c>
      <c r="C6" s="4">
        <v>7</v>
      </c>
      <c r="D6" s="4">
        <v>4</v>
      </c>
      <c r="E6" s="4">
        <v>11</v>
      </c>
      <c r="F6" s="4">
        <v>4</v>
      </c>
      <c r="G6" s="4">
        <v>6</v>
      </c>
      <c r="H6" s="6">
        <v>0.66700000000000004</v>
      </c>
      <c r="I6" s="4">
        <v>0</v>
      </c>
      <c r="J6" s="4">
        <v>39</v>
      </c>
    </row>
    <row r="7" spans="1:10" x14ac:dyDescent="0.2">
      <c r="B7" s="4">
        <v>27</v>
      </c>
      <c r="C7" s="4">
        <v>4</v>
      </c>
      <c r="D7" s="4">
        <v>6</v>
      </c>
      <c r="E7" s="4">
        <v>10</v>
      </c>
      <c r="F7" s="4">
        <v>1</v>
      </c>
      <c r="G7" s="4">
        <v>6</v>
      </c>
      <c r="H7" s="6">
        <v>0.16700000000000001</v>
      </c>
      <c r="I7" s="4">
        <v>2</v>
      </c>
      <c r="J7" s="4">
        <v>32</v>
      </c>
    </row>
    <row r="8" spans="1:10" x14ac:dyDescent="0.2">
      <c r="B8">
        <v>17</v>
      </c>
      <c r="C8">
        <v>2</v>
      </c>
      <c r="D8">
        <v>4</v>
      </c>
      <c r="E8">
        <v>6</v>
      </c>
      <c r="F8">
        <v>1</v>
      </c>
      <c r="G8">
        <v>6</v>
      </c>
      <c r="H8" s="2">
        <v>0.16700000000000001</v>
      </c>
      <c r="I8">
        <v>1</v>
      </c>
      <c r="J8">
        <v>18</v>
      </c>
    </row>
    <row r="9" spans="1:10" x14ac:dyDescent="0.2">
      <c r="A9" s="8"/>
      <c r="B9" s="9">
        <f>SUM(B3:B8)</f>
        <v>118</v>
      </c>
      <c r="C9" s="9">
        <f>SUM(C3:C8)</f>
        <v>24</v>
      </c>
      <c r="D9" s="9">
        <f>SUM(D3:D8)</f>
        <v>18</v>
      </c>
      <c r="E9" s="9">
        <f>SUM(E3:E8)</f>
        <v>42</v>
      </c>
      <c r="F9" s="9">
        <f>SUM(F3:F8)</f>
        <v>16</v>
      </c>
      <c r="G9" s="9">
        <f>SUM(G3:G8)</f>
        <v>30</v>
      </c>
      <c r="H9" s="9"/>
      <c r="I9" s="9">
        <f>SUM(I3:I8)</f>
        <v>10</v>
      </c>
      <c r="J9" s="9">
        <f>SUM(J3:J8)</f>
        <v>146</v>
      </c>
    </row>
    <row r="17" spans="1:10" x14ac:dyDescent="0.2">
      <c r="A17" s="8" t="s">
        <v>15</v>
      </c>
      <c r="C17" t="s">
        <v>16</v>
      </c>
    </row>
    <row r="18" spans="1:10" x14ac:dyDescent="0.2">
      <c r="B18" s="1" t="s">
        <v>0</v>
      </c>
      <c r="C18" s="1" t="s">
        <v>1</v>
      </c>
      <c r="D18" s="1" t="s">
        <v>2</v>
      </c>
      <c r="E18" s="1" t="s">
        <v>3</v>
      </c>
      <c r="F18" s="1" t="s">
        <v>13</v>
      </c>
      <c r="G18" s="1" t="s">
        <v>14</v>
      </c>
      <c r="H18" s="1" t="s">
        <v>4</v>
      </c>
      <c r="I18" s="1" t="s">
        <v>5</v>
      </c>
      <c r="J18" s="1" t="s">
        <v>6</v>
      </c>
    </row>
    <row r="19" spans="1:10" x14ac:dyDescent="0.2">
      <c r="B19">
        <v>8</v>
      </c>
      <c r="C19">
        <v>4</v>
      </c>
      <c r="D19">
        <v>0</v>
      </c>
      <c r="E19">
        <v>4</v>
      </c>
      <c r="F19">
        <v>0</v>
      </c>
      <c r="G19">
        <v>2</v>
      </c>
      <c r="H19" s="2">
        <v>0</v>
      </c>
      <c r="I19">
        <v>1</v>
      </c>
      <c r="J19">
        <v>10</v>
      </c>
    </row>
    <row r="20" spans="1:10" x14ac:dyDescent="0.2">
      <c r="B20" s="4">
        <v>11</v>
      </c>
      <c r="C20" s="4">
        <v>3</v>
      </c>
      <c r="D20" s="4">
        <v>1</v>
      </c>
      <c r="E20" s="4">
        <v>4</v>
      </c>
      <c r="F20" s="4">
        <v>2</v>
      </c>
      <c r="G20" s="4">
        <v>6</v>
      </c>
      <c r="H20" s="6">
        <v>0.33300000000000002</v>
      </c>
      <c r="I20" s="4">
        <v>1</v>
      </c>
      <c r="J20" s="4">
        <v>11</v>
      </c>
    </row>
    <row r="21" spans="1:10" x14ac:dyDescent="0.2">
      <c r="B21" s="4">
        <v>16</v>
      </c>
      <c r="C21" s="4">
        <v>5</v>
      </c>
      <c r="D21" s="4">
        <v>2</v>
      </c>
      <c r="E21" s="4">
        <v>7</v>
      </c>
      <c r="F21" s="4">
        <v>0</v>
      </c>
      <c r="G21" s="4">
        <v>0</v>
      </c>
      <c r="H21" s="6">
        <v>0</v>
      </c>
      <c r="I21" s="4">
        <v>3</v>
      </c>
      <c r="J21" s="4">
        <v>23</v>
      </c>
    </row>
    <row r="22" spans="1:10" x14ac:dyDescent="0.2">
      <c r="B22" s="4">
        <v>12</v>
      </c>
      <c r="C22" s="4">
        <v>4</v>
      </c>
      <c r="D22" s="4">
        <v>1</v>
      </c>
      <c r="E22" s="4">
        <v>5</v>
      </c>
      <c r="F22" s="4">
        <v>1</v>
      </c>
      <c r="G22" s="4">
        <v>8</v>
      </c>
      <c r="H22" s="6">
        <v>0.125</v>
      </c>
      <c r="I22" s="4">
        <v>3</v>
      </c>
      <c r="J22" s="4">
        <v>10</v>
      </c>
    </row>
    <row r="23" spans="1:10" x14ac:dyDescent="0.2">
      <c r="B23">
        <v>10</v>
      </c>
      <c r="C23">
        <v>2</v>
      </c>
      <c r="D23">
        <v>1</v>
      </c>
      <c r="E23">
        <v>3</v>
      </c>
      <c r="F23">
        <v>3</v>
      </c>
      <c r="G23">
        <v>6</v>
      </c>
      <c r="H23" s="2">
        <v>0.5</v>
      </c>
      <c r="I23">
        <v>2</v>
      </c>
      <c r="J23">
        <v>10</v>
      </c>
    </row>
    <row r="24" spans="1:10" x14ac:dyDescent="0.2">
      <c r="B24" s="9">
        <f>SUM(B19:B23)</f>
        <v>57</v>
      </c>
      <c r="C24" s="9">
        <f t="shared" ref="C24:J24" si="0">SUM(C19:C23)</f>
        <v>18</v>
      </c>
      <c r="D24" s="9">
        <f t="shared" si="0"/>
        <v>5</v>
      </c>
      <c r="E24" s="9">
        <f t="shared" si="0"/>
        <v>23</v>
      </c>
      <c r="F24" s="9">
        <f t="shared" si="0"/>
        <v>6</v>
      </c>
      <c r="G24" s="9">
        <f t="shared" si="0"/>
        <v>22</v>
      </c>
      <c r="H24" s="9"/>
      <c r="I24" s="9">
        <f t="shared" si="0"/>
        <v>10</v>
      </c>
      <c r="J24" s="9">
        <f t="shared" si="0"/>
        <v>64</v>
      </c>
    </row>
    <row r="27" spans="1:10" x14ac:dyDescent="0.2">
      <c r="A27" s="8" t="s">
        <v>17</v>
      </c>
      <c r="C27" t="s">
        <v>16</v>
      </c>
    </row>
    <row r="29" spans="1:10" x14ac:dyDescent="0.2">
      <c r="B29" s="1" t="s">
        <v>0</v>
      </c>
      <c r="C29" s="1" t="s">
        <v>1</v>
      </c>
      <c r="D29" s="1" t="s">
        <v>2</v>
      </c>
      <c r="E29" s="1" t="s">
        <v>3</v>
      </c>
      <c r="F29" s="1" t="s">
        <v>13</v>
      </c>
      <c r="G29" s="1" t="s">
        <v>14</v>
      </c>
      <c r="H29" s="1" t="s">
        <v>4</v>
      </c>
      <c r="I29" s="1" t="s">
        <v>5</v>
      </c>
      <c r="J29" s="1" t="s">
        <v>6</v>
      </c>
    </row>
    <row r="30" spans="1:10" x14ac:dyDescent="0.2">
      <c r="B30">
        <v>15</v>
      </c>
      <c r="C30">
        <v>0</v>
      </c>
      <c r="D30">
        <v>5</v>
      </c>
      <c r="E30">
        <v>5</v>
      </c>
      <c r="F30">
        <v>0</v>
      </c>
      <c r="G30">
        <v>0</v>
      </c>
      <c r="H30" s="2">
        <v>0</v>
      </c>
      <c r="I30">
        <v>4</v>
      </c>
      <c r="J30">
        <v>20</v>
      </c>
    </row>
    <row r="31" spans="1:10" x14ac:dyDescent="0.2">
      <c r="B31" s="4">
        <v>11</v>
      </c>
      <c r="C31" s="4">
        <v>1</v>
      </c>
      <c r="D31" s="4">
        <v>3</v>
      </c>
      <c r="E31" s="4">
        <v>4</v>
      </c>
      <c r="F31" s="4">
        <v>0</v>
      </c>
      <c r="G31" s="4">
        <v>0</v>
      </c>
      <c r="H31" s="11" t="s">
        <v>24</v>
      </c>
      <c r="I31" s="4">
        <v>0</v>
      </c>
      <c r="J31" s="4">
        <v>15</v>
      </c>
    </row>
    <row r="32" spans="1:10" x14ac:dyDescent="0.2">
      <c r="B32" s="4">
        <v>21</v>
      </c>
      <c r="C32" s="4">
        <v>6</v>
      </c>
      <c r="D32" s="4">
        <v>3</v>
      </c>
      <c r="E32" s="4">
        <v>9</v>
      </c>
      <c r="F32" s="4">
        <v>0</v>
      </c>
      <c r="G32" s="4">
        <v>0</v>
      </c>
      <c r="H32" s="6">
        <v>0</v>
      </c>
      <c r="I32" s="4">
        <v>2</v>
      </c>
      <c r="J32" s="4">
        <v>30</v>
      </c>
    </row>
    <row r="33" spans="1:10" x14ac:dyDescent="0.2">
      <c r="B33" s="4">
        <v>14</v>
      </c>
      <c r="C33" s="4">
        <v>1</v>
      </c>
      <c r="D33" s="4">
        <v>3</v>
      </c>
      <c r="E33" s="4">
        <v>4</v>
      </c>
      <c r="F33" s="4">
        <v>3</v>
      </c>
      <c r="G33" s="4">
        <v>6</v>
      </c>
      <c r="H33" s="6">
        <v>0.5</v>
      </c>
      <c r="I33" s="4">
        <v>2</v>
      </c>
      <c r="J33" s="4">
        <v>15</v>
      </c>
    </row>
    <row r="34" spans="1:10" x14ac:dyDescent="0.2">
      <c r="B34">
        <v>12</v>
      </c>
      <c r="C34">
        <v>3</v>
      </c>
      <c r="D34">
        <v>2</v>
      </c>
      <c r="E34">
        <v>5</v>
      </c>
      <c r="F34">
        <v>0</v>
      </c>
      <c r="G34">
        <v>0</v>
      </c>
      <c r="H34" s="2">
        <v>0</v>
      </c>
      <c r="I34">
        <v>5</v>
      </c>
      <c r="J34">
        <v>17</v>
      </c>
    </row>
    <row r="35" spans="1:10" x14ac:dyDescent="0.2">
      <c r="B35" s="9">
        <f>SUM(B30:B34)</f>
        <v>73</v>
      </c>
      <c r="C35" s="9">
        <f t="shared" ref="C35:J35" si="1">SUM(C30:C34)</f>
        <v>11</v>
      </c>
      <c r="D35" s="9">
        <f t="shared" si="1"/>
        <v>16</v>
      </c>
      <c r="E35" s="9">
        <f t="shared" si="1"/>
        <v>27</v>
      </c>
      <c r="F35" s="9">
        <f t="shared" si="1"/>
        <v>3</v>
      </c>
      <c r="G35" s="9">
        <f t="shared" si="1"/>
        <v>6</v>
      </c>
      <c r="H35" s="9"/>
      <c r="I35" s="9">
        <f t="shared" si="1"/>
        <v>13</v>
      </c>
      <c r="J35" s="9">
        <f t="shared" si="1"/>
        <v>97</v>
      </c>
    </row>
    <row r="39" spans="1:10" x14ac:dyDescent="0.2">
      <c r="A39" s="8" t="s">
        <v>18</v>
      </c>
      <c r="C39" t="s">
        <v>20</v>
      </c>
    </row>
    <row r="41" spans="1:10" x14ac:dyDescent="0.2">
      <c r="B41" s="1" t="s">
        <v>0</v>
      </c>
      <c r="C41" s="1" t="s">
        <v>1</v>
      </c>
      <c r="D41" s="1" t="s">
        <v>2</v>
      </c>
      <c r="E41" s="1" t="s">
        <v>3</v>
      </c>
      <c r="F41" s="1" t="s">
        <v>13</v>
      </c>
      <c r="G41" s="1" t="s">
        <v>14</v>
      </c>
      <c r="H41" s="1" t="s">
        <v>4</v>
      </c>
      <c r="I41" s="1" t="s">
        <v>5</v>
      </c>
      <c r="J41" s="1" t="s">
        <v>6</v>
      </c>
    </row>
    <row r="42" spans="1:10" x14ac:dyDescent="0.2">
      <c r="B42">
        <v>10</v>
      </c>
      <c r="C42">
        <v>2</v>
      </c>
      <c r="D42">
        <v>2</v>
      </c>
      <c r="E42">
        <v>4</v>
      </c>
      <c r="F42">
        <v>0</v>
      </c>
      <c r="G42">
        <v>0</v>
      </c>
      <c r="H42" s="2">
        <v>0</v>
      </c>
      <c r="I42">
        <v>1</v>
      </c>
      <c r="J42">
        <v>14</v>
      </c>
    </row>
    <row r="43" spans="1:10" x14ac:dyDescent="0.2">
      <c r="B43" s="4">
        <v>12</v>
      </c>
      <c r="C43" s="4">
        <v>0</v>
      </c>
      <c r="D43" s="4">
        <v>4</v>
      </c>
      <c r="E43" s="4">
        <v>4</v>
      </c>
      <c r="F43" s="4">
        <v>0</v>
      </c>
      <c r="G43" s="4">
        <v>0</v>
      </c>
      <c r="H43" s="6">
        <v>0</v>
      </c>
      <c r="I43" s="4">
        <v>1</v>
      </c>
      <c r="J43" s="4">
        <v>16</v>
      </c>
    </row>
    <row r="44" spans="1:10" x14ac:dyDescent="0.2">
      <c r="B44" s="4">
        <v>11</v>
      </c>
      <c r="C44" s="4">
        <v>0</v>
      </c>
      <c r="D44" s="4">
        <v>3</v>
      </c>
      <c r="E44" s="4">
        <v>3</v>
      </c>
      <c r="F44" s="4">
        <v>2</v>
      </c>
      <c r="G44" s="4">
        <v>2</v>
      </c>
      <c r="H44" s="7">
        <v>1</v>
      </c>
      <c r="I44" s="4">
        <v>3</v>
      </c>
      <c r="J44" s="4">
        <v>14</v>
      </c>
    </row>
    <row r="45" spans="1:10" x14ac:dyDescent="0.2">
      <c r="B45" s="4">
        <v>5</v>
      </c>
      <c r="C45" s="4">
        <v>1</v>
      </c>
      <c r="D45" s="4">
        <v>1</v>
      </c>
      <c r="E45" s="4">
        <v>2</v>
      </c>
      <c r="F45" s="4">
        <v>0</v>
      </c>
      <c r="G45" s="4">
        <v>0</v>
      </c>
      <c r="H45" s="6">
        <v>0</v>
      </c>
      <c r="I45" s="4">
        <v>1</v>
      </c>
      <c r="J45" s="4">
        <v>7</v>
      </c>
    </row>
    <row r="46" spans="1:10" x14ac:dyDescent="0.2">
      <c r="B46" s="4">
        <v>3</v>
      </c>
      <c r="C46" s="4">
        <v>0</v>
      </c>
      <c r="D46" s="4">
        <v>1</v>
      </c>
      <c r="E46" s="4">
        <v>1</v>
      </c>
      <c r="F46" s="4">
        <v>0</v>
      </c>
      <c r="G46" s="4">
        <v>0</v>
      </c>
      <c r="H46" s="6">
        <v>0</v>
      </c>
      <c r="I46" s="4">
        <v>1</v>
      </c>
      <c r="J46" s="4">
        <v>4</v>
      </c>
    </row>
    <row r="47" spans="1:10" x14ac:dyDescent="0.2">
      <c r="B47" s="10">
        <f>SUM(B42:B46)</f>
        <v>41</v>
      </c>
      <c r="C47" s="10">
        <f t="shared" ref="C47:J47" si="2">SUM(C42:C46)</f>
        <v>3</v>
      </c>
      <c r="D47" s="10">
        <f t="shared" si="2"/>
        <v>11</v>
      </c>
      <c r="E47" s="10">
        <f t="shared" si="2"/>
        <v>14</v>
      </c>
      <c r="F47" s="10">
        <f t="shared" si="2"/>
        <v>2</v>
      </c>
      <c r="G47" s="10">
        <f t="shared" si="2"/>
        <v>2</v>
      </c>
      <c r="H47" s="10"/>
      <c r="I47" s="10">
        <f t="shared" si="2"/>
        <v>7</v>
      </c>
      <c r="J47" s="10">
        <f t="shared" si="2"/>
        <v>55</v>
      </c>
    </row>
    <row r="53" spans="1:10" x14ac:dyDescent="0.2">
      <c r="A53" s="8" t="s">
        <v>19</v>
      </c>
      <c r="C53" t="s">
        <v>20</v>
      </c>
    </row>
    <row r="55" spans="1:10" x14ac:dyDescent="0.2">
      <c r="B55" s="1" t="s">
        <v>0</v>
      </c>
      <c r="C55" s="1" t="s">
        <v>1</v>
      </c>
      <c r="D55" s="1" t="s">
        <v>2</v>
      </c>
      <c r="E55" s="1" t="s">
        <v>3</v>
      </c>
      <c r="F55" s="1" t="s">
        <v>13</v>
      </c>
      <c r="G55" s="1" t="s">
        <v>14</v>
      </c>
      <c r="H55" s="1" t="s">
        <v>4</v>
      </c>
      <c r="I55" s="1" t="s">
        <v>5</v>
      </c>
      <c r="J55" s="1" t="s">
        <v>6</v>
      </c>
    </row>
    <row r="56" spans="1:10" x14ac:dyDescent="0.2">
      <c r="B56" s="4">
        <v>10</v>
      </c>
      <c r="C56" s="4">
        <v>4</v>
      </c>
      <c r="D56" s="4">
        <v>0</v>
      </c>
      <c r="E56" s="4">
        <v>4</v>
      </c>
      <c r="F56" s="4">
        <v>2</v>
      </c>
      <c r="G56" s="4">
        <v>4</v>
      </c>
      <c r="H56" s="11" t="s">
        <v>9</v>
      </c>
      <c r="I56" s="4">
        <v>4</v>
      </c>
      <c r="J56" s="4">
        <v>12</v>
      </c>
    </row>
    <row r="57" spans="1:10" x14ac:dyDescent="0.2">
      <c r="B57">
        <v>4</v>
      </c>
      <c r="C57">
        <v>2</v>
      </c>
      <c r="D57">
        <v>0</v>
      </c>
      <c r="E57">
        <v>2</v>
      </c>
      <c r="F57">
        <v>0</v>
      </c>
      <c r="G57">
        <v>0</v>
      </c>
      <c r="H57" s="2">
        <v>0</v>
      </c>
      <c r="I57">
        <v>2</v>
      </c>
      <c r="J57">
        <v>6</v>
      </c>
    </row>
    <row r="58" spans="1:10" x14ac:dyDescent="0.2">
      <c r="B58" s="4">
        <v>2</v>
      </c>
      <c r="C58" s="4">
        <v>1</v>
      </c>
      <c r="D58" s="4">
        <v>0</v>
      </c>
      <c r="E58" s="4">
        <v>1</v>
      </c>
      <c r="F58" s="4">
        <v>0</v>
      </c>
      <c r="G58" s="4">
        <v>0</v>
      </c>
      <c r="H58" s="6">
        <v>0</v>
      </c>
      <c r="I58" s="4">
        <v>1</v>
      </c>
      <c r="J58" s="4">
        <v>3</v>
      </c>
    </row>
    <row r="59" spans="1:10" x14ac:dyDescent="0.2"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2</v>
      </c>
      <c r="H59" s="6">
        <v>0</v>
      </c>
      <c r="I59" s="4">
        <v>5</v>
      </c>
      <c r="J59" s="4">
        <v>-2</v>
      </c>
    </row>
    <row r="60" spans="1:10" x14ac:dyDescent="0.2">
      <c r="B60">
        <v>14</v>
      </c>
      <c r="C60">
        <v>6</v>
      </c>
      <c r="D60">
        <v>0</v>
      </c>
      <c r="E60">
        <v>6</v>
      </c>
      <c r="F60">
        <v>2</v>
      </c>
      <c r="G60">
        <v>6</v>
      </c>
      <c r="H60" s="2">
        <v>0.33300000000000002</v>
      </c>
      <c r="I60">
        <v>2</v>
      </c>
      <c r="J60">
        <v>16</v>
      </c>
    </row>
    <row r="61" spans="1:10" x14ac:dyDescent="0.2"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2</v>
      </c>
      <c r="H61" s="6">
        <v>0</v>
      </c>
      <c r="I61" s="4">
        <v>1</v>
      </c>
      <c r="J61" s="4">
        <v>-2</v>
      </c>
    </row>
    <row r="62" spans="1:10" x14ac:dyDescent="0.2">
      <c r="B62" s="9">
        <f>SUM(B56:B61)</f>
        <v>30</v>
      </c>
      <c r="C62" s="9">
        <f t="shared" ref="C62:J62" si="3">SUM(C56:C61)</f>
        <v>13</v>
      </c>
      <c r="D62" s="9">
        <f t="shared" si="3"/>
        <v>0</v>
      </c>
      <c r="E62" s="9">
        <f t="shared" si="3"/>
        <v>13</v>
      </c>
      <c r="F62" s="9">
        <f t="shared" si="3"/>
        <v>4</v>
      </c>
      <c r="G62" s="9">
        <f t="shared" si="3"/>
        <v>14</v>
      </c>
      <c r="H62" s="9"/>
      <c r="I62" s="9">
        <f t="shared" si="3"/>
        <v>15</v>
      </c>
      <c r="J62" s="9">
        <f t="shared" si="3"/>
        <v>33</v>
      </c>
    </row>
    <row r="69" spans="1:10" x14ac:dyDescent="0.2">
      <c r="A69" s="8" t="s">
        <v>21</v>
      </c>
      <c r="B69" s="8"/>
      <c r="C69" t="s">
        <v>22</v>
      </c>
    </row>
    <row r="71" spans="1:10" x14ac:dyDescent="0.2">
      <c r="B71" s="1" t="s">
        <v>0</v>
      </c>
      <c r="C71" s="1" t="s">
        <v>1</v>
      </c>
      <c r="D71" s="1" t="s">
        <v>2</v>
      </c>
      <c r="E71" s="1" t="s">
        <v>3</v>
      </c>
      <c r="F71" s="1" t="s">
        <v>13</v>
      </c>
      <c r="G71" s="1" t="s">
        <v>14</v>
      </c>
      <c r="H71" s="1" t="s">
        <v>4</v>
      </c>
      <c r="I71" s="1" t="s">
        <v>5</v>
      </c>
      <c r="J71" s="1" t="s">
        <v>6</v>
      </c>
    </row>
    <row r="72" spans="1:10" x14ac:dyDescent="0.2">
      <c r="B72">
        <v>7</v>
      </c>
      <c r="C72">
        <v>2</v>
      </c>
      <c r="D72">
        <v>1</v>
      </c>
      <c r="E72">
        <v>3</v>
      </c>
      <c r="F72">
        <v>0</v>
      </c>
      <c r="G72">
        <v>0</v>
      </c>
      <c r="H72" s="2">
        <v>0</v>
      </c>
      <c r="I72">
        <v>2</v>
      </c>
      <c r="J72">
        <v>10</v>
      </c>
    </row>
    <row r="73" spans="1:10" x14ac:dyDescent="0.2">
      <c r="B73" s="4">
        <v>9</v>
      </c>
      <c r="C73" s="4">
        <v>2</v>
      </c>
      <c r="D73" s="4">
        <v>1</v>
      </c>
      <c r="E73" s="4">
        <v>3</v>
      </c>
      <c r="F73" s="4">
        <v>2</v>
      </c>
      <c r="G73" s="4">
        <v>4</v>
      </c>
      <c r="H73" s="6">
        <v>0.5</v>
      </c>
      <c r="I73" s="4">
        <v>2</v>
      </c>
      <c r="J73" s="4">
        <v>10</v>
      </c>
    </row>
    <row r="74" spans="1:10" x14ac:dyDescent="0.2">
      <c r="B74" s="4">
        <v>9</v>
      </c>
      <c r="C74" s="4">
        <v>1</v>
      </c>
      <c r="D74" s="4">
        <v>2</v>
      </c>
      <c r="E74" s="4">
        <v>3</v>
      </c>
      <c r="F74" s="4">
        <v>1</v>
      </c>
      <c r="G74" s="4">
        <v>2</v>
      </c>
      <c r="H74" s="6">
        <v>0.5</v>
      </c>
      <c r="I74" s="4">
        <v>1</v>
      </c>
      <c r="J74" s="4">
        <v>11</v>
      </c>
    </row>
    <row r="75" spans="1:10" x14ac:dyDescent="0.2">
      <c r="B75" s="9">
        <f>SUM(B72:B74)</f>
        <v>25</v>
      </c>
      <c r="C75" s="9">
        <f t="shared" ref="C75:J75" si="4">SUM(C72:C74)</f>
        <v>5</v>
      </c>
      <c r="D75" s="9">
        <f t="shared" si="4"/>
        <v>4</v>
      </c>
      <c r="E75" s="9">
        <f t="shared" si="4"/>
        <v>9</v>
      </c>
      <c r="F75" s="9">
        <f t="shared" si="4"/>
        <v>3</v>
      </c>
      <c r="G75" s="9">
        <f t="shared" si="4"/>
        <v>6</v>
      </c>
      <c r="H75" s="9"/>
      <c r="I75" s="9">
        <f t="shared" si="4"/>
        <v>5</v>
      </c>
      <c r="J75" s="9">
        <f t="shared" si="4"/>
        <v>31</v>
      </c>
    </row>
    <row r="79" spans="1:10" x14ac:dyDescent="0.2">
      <c r="A79" s="8" t="s">
        <v>23</v>
      </c>
      <c r="C79" t="s">
        <v>16</v>
      </c>
    </row>
    <row r="81" spans="1:10" x14ac:dyDescent="0.2">
      <c r="B81" s="1" t="s">
        <v>0</v>
      </c>
      <c r="C81" s="1" t="s">
        <v>1</v>
      </c>
      <c r="D81" s="1" t="s">
        <v>2</v>
      </c>
      <c r="E81" s="1" t="s">
        <v>3</v>
      </c>
      <c r="F81" s="1" t="s">
        <v>13</v>
      </c>
      <c r="G81" s="1" t="s">
        <v>14</v>
      </c>
      <c r="H81" s="1" t="s">
        <v>4</v>
      </c>
      <c r="I81" s="1" t="s">
        <v>5</v>
      </c>
      <c r="J81" s="1" t="s">
        <v>6</v>
      </c>
    </row>
    <row r="82" spans="1:10" x14ac:dyDescent="0.2">
      <c r="B82">
        <v>2</v>
      </c>
      <c r="C82">
        <v>1</v>
      </c>
      <c r="D82">
        <v>0</v>
      </c>
      <c r="E82">
        <v>1</v>
      </c>
      <c r="F82">
        <v>0</v>
      </c>
      <c r="G82">
        <v>0</v>
      </c>
      <c r="H82" s="2">
        <v>0</v>
      </c>
      <c r="I82">
        <v>2</v>
      </c>
      <c r="J82">
        <v>3</v>
      </c>
    </row>
    <row r="83" spans="1:10" x14ac:dyDescent="0.2">
      <c r="B83" s="4">
        <v>1</v>
      </c>
      <c r="C83" s="4">
        <v>0</v>
      </c>
      <c r="D83" s="4">
        <v>0</v>
      </c>
      <c r="E83" s="4">
        <v>0</v>
      </c>
      <c r="F83" s="4">
        <v>1</v>
      </c>
      <c r="G83" s="4">
        <v>2</v>
      </c>
      <c r="H83" s="6">
        <v>0.5</v>
      </c>
      <c r="I83" s="4">
        <v>0</v>
      </c>
      <c r="J83" s="4">
        <v>0</v>
      </c>
    </row>
    <row r="84" spans="1:10" x14ac:dyDescent="0.2">
      <c r="B84" s="4">
        <v>2</v>
      </c>
      <c r="C84" s="4">
        <v>1</v>
      </c>
      <c r="D84" s="4">
        <v>0</v>
      </c>
      <c r="E84" s="4">
        <v>1</v>
      </c>
      <c r="F84" s="4">
        <v>0</v>
      </c>
      <c r="G84" s="4">
        <v>0</v>
      </c>
      <c r="H84" s="6">
        <v>0</v>
      </c>
      <c r="I84" s="4">
        <v>0</v>
      </c>
      <c r="J84" s="4">
        <v>3</v>
      </c>
    </row>
    <row r="85" spans="1:10" x14ac:dyDescent="0.2">
      <c r="B85" s="4">
        <v>2</v>
      </c>
      <c r="C85" s="4">
        <v>1</v>
      </c>
      <c r="D85" s="4">
        <v>0</v>
      </c>
      <c r="E85" s="4">
        <v>1</v>
      </c>
      <c r="F85" s="4">
        <v>0</v>
      </c>
      <c r="G85" s="4">
        <v>3</v>
      </c>
      <c r="H85" s="4" t="s">
        <v>8</v>
      </c>
      <c r="I85" s="4">
        <v>2</v>
      </c>
      <c r="J85" s="4">
        <v>0</v>
      </c>
    </row>
    <row r="86" spans="1:10" x14ac:dyDescent="0.2"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 s="2">
        <v>0</v>
      </c>
      <c r="I86">
        <v>2</v>
      </c>
      <c r="J86">
        <v>0</v>
      </c>
    </row>
    <row r="87" spans="1:10" x14ac:dyDescent="0.2">
      <c r="B87" s="9">
        <f>SUM(B82:B86)</f>
        <v>7</v>
      </c>
      <c r="C87" s="9">
        <f t="shared" ref="C87:J87" si="5">SUM(C82:C86)</f>
        <v>3</v>
      </c>
      <c r="D87" s="9">
        <f t="shared" si="5"/>
        <v>0</v>
      </c>
      <c r="E87" s="9">
        <f t="shared" si="5"/>
        <v>3</v>
      </c>
      <c r="F87" s="9">
        <f t="shared" si="5"/>
        <v>1</v>
      </c>
      <c r="G87" s="9">
        <f t="shared" si="5"/>
        <v>5</v>
      </c>
      <c r="H87" s="9"/>
      <c r="I87" s="9">
        <f t="shared" si="5"/>
        <v>6</v>
      </c>
      <c r="J87" s="9">
        <f t="shared" si="5"/>
        <v>6</v>
      </c>
    </row>
    <row r="91" spans="1:10" x14ac:dyDescent="0.2">
      <c r="A91" s="8" t="s">
        <v>25</v>
      </c>
    </row>
    <row r="93" spans="1:10" x14ac:dyDescent="0.2">
      <c r="B93" s="1" t="s">
        <v>0</v>
      </c>
      <c r="C93" s="1" t="s">
        <v>1</v>
      </c>
      <c r="D93" s="1" t="s">
        <v>2</v>
      </c>
      <c r="E93" s="1" t="s">
        <v>3</v>
      </c>
      <c r="F93" s="1" t="s">
        <v>13</v>
      </c>
      <c r="G93" s="1" t="s">
        <v>14</v>
      </c>
      <c r="H93" s="1" t="s">
        <v>4</v>
      </c>
      <c r="I93" s="1" t="s">
        <v>5</v>
      </c>
      <c r="J93" s="1" t="s">
        <v>6</v>
      </c>
    </row>
    <row r="94" spans="1:10" x14ac:dyDescent="0.2">
      <c r="B94">
        <v>3</v>
      </c>
      <c r="C94">
        <v>0</v>
      </c>
      <c r="D94">
        <v>1</v>
      </c>
      <c r="E94">
        <v>1</v>
      </c>
      <c r="F94">
        <v>0</v>
      </c>
      <c r="G94">
        <v>0</v>
      </c>
      <c r="H94" s="2">
        <v>0</v>
      </c>
      <c r="I94">
        <v>2</v>
      </c>
      <c r="J94">
        <v>4</v>
      </c>
    </row>
    <row r="95" spans="1:10" x14ac:dyDescent="0.2">
      <c r="B95" s="4">
        <v>2</v>
      </c>
      <c r="C95" s="4">
        <v>1</v>
      </c>
      <c r="D95" s="4">
        <v>0</v>
      </c>
      <c r="E95" s="4">
        <v>1</v>
      </c>
      <c r="F95" s="4">
        <v>0</v>
      </c>
      <c r="G95" s="4">
        <v>0</v>
      </c>
      <c r="H95" s="6">
        <v>0</v>
      </c>
      <c r="I95" s="4">
        <v>3</v>
      </c>
      <c r="J95" s="4">
        <v>3</v>
      </c>
    </row>
    <row r="96" spans="1:10" x14ac:dyDescent="0.2"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 s="2">
        <v>0</v>
      </c>
      <c r="I96">
        <v>2</v>
      </c>
      <c r="J96">
        <v>0</v>
      </c>
    </row>
    <row r="97" spans="1:10" x14ac:dyDescent="0.2">
      <c r="B97" s="9">
        <f>SUM(B94:B96)</f>
        <v>5</v>
      </c>
      <c r="C97" s="9">
        <f t="shared" ref="C97:J97" si="6">SUM(C94:C96)</f>
        <v>1</v>
      </c>
      <c r="D97" s="9">
        <f t="shared" si="6"/>
        <v>1</v>
      </c>
      <c r="E97" s="9">
        <f t="shared" si="6"/>
        <v>2</v>
      </c>
      <c r="F97" s="9">
        <f t="shared" si="6"/>
        <v>0</v>
      </c>
      <c r="G97" s="9">
        <f t="shared" si="6"/>
        <v>0</v>
      </c>
      <c r="H97" s="9"/>
      <c r="I97" s="9">
        <f t="shared" si="6"/>
        <v>7</v>
      </c>
      <c r="J97" s="9">
        <f t="shared" si="6"/>
        <v>7</v>
      </c>
    </row>
    <row r="101" spans="1:10" x14ac:dyDescent="0.2">
      <c r="A101" s="8" t="s">
        <v>26</v>
      </c>
      <c r="B101" t="s">
        <v>20</v>
      </c>
    </row>
    <row r="103" spans="1:10" x14ac:dyDescent="0.2">
      <c r="B103" s="1" t="s">
        <v>0</v>
      </c>
      <c r="C103" s="1" t="s">
        <v>1</v>
      </c>
      <c r="D103" s="1" t="s">
        <v>2</v>
      </c>
      <c r="E103" s="1" t="s">
        <v>3</v>
      </c>
      <c r="F103" s="1" t="s">
        <v>13</v>
      </c>
      <c r="G103" s="1" t="s">
        <v>14</v>
      </c>
      <c r="H103" s="1" t="s">
        <v>4</v>
      </c>
      <c r="I103" s="1" t="s">
        <v>5</v>
      </c>
      <c r="J103" s="1" t="s">
        <v>6</v>
      </c>
    </row>
    <row r="104" spans="1:10" x14ac:dyDescent="0.2">
      <c r="B104">
        <v>4</v>
      </c>
      <c r="C104">
        <v>2</v>
      </c>
      <c r="D104">
        <v>0</v>
      </c>
      <c r="E104">
        <v>2</v>
      </c>
      <c r="F104">
        <v>0</v>
      </c>
      <c r="G104">
        <v>0</v>
      </c>
      <c r="H104" s="2">
        <v>0</v>
      </c>
      <c r="I104">
        <v>4</v>
      </c>
      <c r="J104">
        <v>6</v>
      </c>
    </row>
    <row r="105" spans="1:10" x14ac:dyDescent="0.2">
      <c r="B105" s="4">
        <v>18</v>
      </c>
      <c r="C105" s="4">
        <v>6</v>
      </c>
      <c r="D105" s="4">
        <v>0</v>
      </c>
      <c r="E105" s="4">
        <v>6</v>
      </c>
      <c r="F105" s="4">
        <v>6</v>
      </c>
      <c r="G105" s="4">
        <v>11</v>
      </c>
      <c r="H105" s="4" t="s">
        <v>7</v>
      </c>
      <c r="I105" s="4">
        <v>0</v>
      </c>
      <c r="J105" s="4">
        <v>19</v>
      </c>
    </row>
    <row r="106" spans="1:10" x14ac:dyDescent="0.2">
      <c r="B106" s="4">
        <v>7</v>
      </c>
      <c r="C106" s="4">
        <v>2</v>
      </c>
      <c r="D106" s="4">
        <v>0</v>
      </c>
      <c r="E106" s="4">
        <v>2</v>
      </c>
      <c r="F106" s="4">
        <v>3</v>
      </c>
      <c r="G106" s="4">
        <v>4</v>
      </c>
      <c r="H106" s="6">
        <v>0.75</v>
      </c>
      <c r="I106" s="4">
        <v>0</v>
      </c>
      <c r="J106" s="4">
        <v>8</v>
      </c>
    </row>
    <row r="107" spans="1:10" x14ac:dyDescent="0.2">
      <c r="B107" s="4">
        <v>4</v>
      </c>
      <c r="C107" s="4">
        <v>2</v>
      </c>
      <c r="D107" s="4">
        <v>0</v>
      </c>
      <c r="E107" s="4">
        <v>2</v>
      </c>
      <c r="F107" s="4">
        <v>0</v>
      </c>
      <c r="G107" s="4">
        <v>0</v>
      </c>
      <c r="H107" s="6">
        <v>0</v>
      </c>
      <c r="I107" s="4">
        <v>0</v>
      </c>
      <c r="J107" s="4">
        <v>6</v>
      </c>
    </row>
    <row r="108" spans="1:10" x14ac:dyDescent="0.2">
      <c r="B108" s="4">
        <v>4</v>
      </c>
      <c r="C108" s="4">
        <v>2</v>
      </c>
      <c r="D108" s="4">
        <v>0</v>
      </c>
      <c r="E108" s="4">
        <v>2</v>
      </c>
      <c r="F108" s="4">
        <v>0</v>
      </c>
      <c r="G108" s="4">
        <v>0</v>
      </c>
      <c r="H108" s="6">
        <v>0</v>
      </c>
      <c r="I108" s="4">
        <v>1</v>
      </c>
      <c r="J108" s="4">
        <v>6</v>
      </c>
    </row>
    <row r="109" spans="1:10" x14ac:dyDescent="0.2"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 s="2">
        <v>0</v>
      </c>
      <c r="I109">
        <v>0</v>
      </c>
      <c r="J109">
        <v>0</v>
      </c>
    </row>
    <row r="110" spans="1:10" x14ac:dyDescent="0.2">
      <c r="B110" s="9">
        <f>SUM(B104:B109)</f>
        <v>37</v>
      </c>
      <c r="C110" s="9">
        <f t="shared" ref="C110:J110" si="7">SUM(C104:C109)</f>
        <v>14</v>
      </c>
      <c r="D110" s="9">
        <f t="shared" si="7"/>
        <v>0</v>
      </c>
      <c r="E110" s="9">
        <f t="shared" si="7"/>
        <v>14</v>
      </c>
      <c r="F110" s="9">
        <f t="shared" si="7"/>
        <v>9</v>
      </c>
      <c r="G110" s="9">
        <f t="shared" si="7"/>
        <v>15</v>
      </c>
      <c r="H110" s="9"/>
      <c r="I110" s="9">
        <f t="shared" si="7"/>
        <v>5</v>
      </c>
      <c r="J110" s="9">
        <f t="shared" si="7"/>
        <v>45</v>
      </c>
    </row>
    <row r="113" spans="1:10" x14ac:dyDescent="0.2">
      <c r="A113" s="8" t="s">
        <v>27</v>
      </c>
      <c r="B113" t="s">
        <v>28</v>
      </c>
    </row>
    <row r="115" spans="1:10" x14ac:dyDescent="0.2">
      <c r="B115" s="1" t="s">
        <v>0</v>
      </c>
      <c r="C115" s="1" t="s">
        <v>1</v>
      </c>
      <c r="D115" s="1" t="s">
        <v>2</v>
      </c>
      <c r="E115" s="1" t="s">
        <v>3</v>
      </c>
      <c r="F115" s="1" t="s">
        <v>13</v>
      </c>
      <c r="G115" s="1" t="s">
        <v>14</v>
      </c>
      <c r="H115" s="1" t="s">
        <v>4</v>
      </c>
      <c r="I115" s="1" t="s">
        <v>5</v>
      </c>
      <c r="J115" s="1" t="s">
        <v>6</v>
      </c>
    </row>
    <row r="116" spans="1:10" x14ac:dyDescent="0.2"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 s="2">
        <v>0</v>
      </c>
      <c r="I116">
        <v>1</v>
      </c>
      <c r="J116">
        <v>0</v>
      </c>
    </row>
    <row r="117" spans="1:10" x14ac:dyDescent="0.2">
      <c r="B117" s="4">
        <v>1</v>
      </c>
      <c r="C117" s="4">
        <v>0</v>
      </c>
      <c r="D117" s="4">
        <v>0</v>
      </c>
      <c r="E117" s="4">
        <v>0</v>
      </c>
      <c r="F117" s="4">
        <v>1</v>
      </c>
      <c r="G117" s="4">
        <v>2</v>
      </c>
      <c r="H117" s="6">
        <v>0.5</v>
      </c>
      <c r="I117" s="4">
        <v>0</v>
      </c>
      <c r="J117" s="4">
        <v>0</v>
      </c>
    </row>
    <row r="118" spans="1:10" x14ac:dyDescent="0.2">
      <c r="B118" s="9">
        <f>SUM(B116:B117)</f>
        <v>1</v>
      </c>
      <c r="C118" s="9">
        <f t="shared" ref="C118:J118" si="8">SUM(C116:C117)</f>
        <v>0</v>
      </c>
      <c r="D118" s="9">
        <f t="shared" si="8"/>
        <v>0</v>
      </c>
      <c r="E118" s="9">
        <f t="shared" si="8"/>
        <v>0</v>
      </c>
      <c r="F118" s="9">
        <f t="shared" si="8"/>
        <v>1</v>
      </c>
      <c r="G118" s="9">
        <f t="shared" si="8"/>
        <v>2</v>
      </c>
      <c r="H118" s="9"/>
      <c r="I118" s="9">
        <f t="shared" si="8"/>
        <v>1</v>
      </c>
      <c r="J118" s="9">
        <f t="shared" si="8"/>
        <v>0</v>
      </c>
    </row>
    <row r="122" spans="1:10" x14ac:dyDescent="0.2">
      <c r="A122" s="8" t="s">
        <v>29</v>
      </c>
      <c r="B122" t="s">
        <v>16</v>
      </c>
    </row>
    <row r="124" spans="1:10" x14ac:dyDescent="0.2">
      <c r="B124" s="1" t="s">
        <v>0</v>
      </c>
      <c r="C124" s="1" t="s">
        <v>1</v>
      </c>
      <c r="D124" s="1" t="s">
        <v>2</v>
      </c>
      <c r="E124" s="1" t="s">
        <v>3</v>
      </c>
      <c r="F124" s="1" t="s">
        <v>13</v>
      </c>
      <c r="G124" s="1" t="s">
        <v>14</v>
      </c>
      <c r="H124" s="1" t="s">
        <v>4</v>
      </c>
      <c r="I124" s="1" t="s">
        <v>5</v>
      </c>
      <c r="J124" s="1" t="s">
        <v>6</v>
      </c>
    </row>
    <row r="125" spans="1:10" x14ac:dyDescent="0.2"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6">
        <v>0</v>
      </c>
      <c r="I125" s="4">
        <v>1</v>
      </c>
      <c r="J125" s="4">
        <v>0</v>
      </c>
    </row>
    <row r="126" spans="1:10" x14ac:dyDescent="0.2">
      <c r="B126" s="4">
        <v>2</v>
      </c>
      <c r="C126" s="4">
        <v>1</v>
      </c>
      <c r="D126" s="4">
        <v>0</v>
      </c>
      <c r="E126" s="4">
        <v>1</v>
      </c>
      <c r="F126" s="4">
        <v>0</v>
      </c>
      <c r="G126" s="4">
        <v>0</v>
      </c>
      <c r="H126" s="6">
        <v>0</v>
      </c>
      <c r="I126" s="4">
        <v>4</v>
      </c>
      <c r="J126" s="4">
        <v>3</v>
      </c>
    </row>
    <row r="127" spans="1:10" x14ac:dyDescent="0.2">
      <c r="B127" s="4">
        <v>3</v>
      </c>
      <c r="C127" s="4">
        <v>1</v>
      </c>
      <c r="D127" s="4">
        <v>0</v>
      </c>
      <c r="E127" s="4">
        <v>1</v>
      </c>
      <c r="F127" s="4">
        <v>1</v>
      </c>
      <c r="G127" s="4">
        <v>2</v>
      </c>
      <c r="H127" s="6">
        <v>0.5</v>
      </c>
      <c r="I127" s="4">
        <v>2</v>
      </c>
      <c r="J127" s="4">
        <v>3</v>
      </c>
    </row>
    <row r="128" spans="1:10" x14ac:dyDescent="0.2">
      <c r="B128" s="4">
        <v>2</v>
      </c>
      <c r="C128" s="4">
        <v>1</v>
      </c>
      <c r="D128" s="4">
        <v>0</v>
      </c>
      <c r="E128" s="4">
        <v>1</v>
      </c>
      <c r="F128" s="4">
        <v>0</v>
      </c>
      <c r="G128" s="4">
        <v>0</v>
      </c>
      <c r="H128" s="6">
        <v>0</v>
      </c>
      <c r="I128" s="4">
        <v>2</v>
      </c>
      <c r="J128" s="4">
        <v>3</v>
      </c>
    </row>
    <row r="129" spans="1:10" x14ac:dyDescent="0.2">
      <c r="B129" s="4">
        <v>4</v>
      </c>
      <c r="C129" s="4">
        <v>2</v>
      </c>
      <c r="D129" s="4">
        <v>0</v>
      </c>
      <c r="E129" s="4">
        <v>2</v>
      </c>
      <c r="F129" s="4">
        <v>0</v>
      </c>
      <c r="G129" s="4">
        <v>0</v>
      </c>
      <c r="H129" s="4" t="s">
        <v>8</v>
      </c>
      <c r="I129" s="4">
        <v>1</v>
      </c>
      <c r="J129" s="4">
        <v>6</v>
      </c>
    </row>
    <row r="130" spans="1:10" x14ac:dyDescent="0.2">
      <c r="B130" s="9">
        <f>SUM(B125:B129)</f>
        <v>11</v>
      </c>
      <c r="C130" s="9">
        <f t="shared" ref="C130:J130" si="9">SUM(C125:C129)</f>
        <v>5</v>
      </c>
      <c r="D130" s="9">
        <f t="shared" si="9"/>
        <v>0</v>
      </c>
      <c r="E130" s="9">
        <f t="shared" si="9"/>
        <v>5</v>
      </c>
      <c r="F130" s="9">
        <f t="shared" si="9"/>
        <v>1</v>
      </c>
      <c r="G130" s="9">
        <f t="shared" si="9"/>
        <v>2</v>
      </c>
      <c r="H130" s="9">
        <f t="shared" si="9"/>
        <v>0.5</v>
      </c>
      <c r="I130" s="9">
        <f t="shared" si="9"/>
        <v>10</v>
      </c>
      <c r="J130" s="9">
        <f t="shared" si="9"/>
        <v>15</v>
      </c>
    </row>
    <row r="133" spans="1:10" x14ac:dyDescent="0.2">
      <c r="A133" s="8" t="s">
        <v>30</v>
      </c>
      <c r="B133" t="s">
        <v>31</v>
      </c>
    </row>
    <row r="135" spans="1:10" x14ac:dyDescent="0.2">
      <c r="B135" s="1" t="s">
        <v>0</v>
      </c>
      <c r="C135" s="1" t="s">
        <v>1</v>
      </c>
      <c r="D135" s="1" t="s">
        <v>2</v>
      </c>
      <c r="E135" s="1" t="s">
        <v>3</v>
      </c>
      <c r="F135" s="1" t="s">
        <v>13</v>
      </c>
      <c r="G135" s="1" t="s">
        <v>14</v>
      </c>
      <c r="H135" s="1" t="s">
        <v>4</v>
      </c>
      <c r="I135" s="1" t="s">
        <v>5</v>
      </c>
      <c r="J135" s="1" t="s">
        <v>6</v>
      </c>
    </row>
    <row r="136" spans="1:10" x14ac:dyDescent="0.2"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2</v>
      </c>
      <c r="H136" s="6">
        <v>0</v>
      </c>
      <c r="I136" s="4">
        <v>2</v>
      </c>
      <c r="J136" s="4">
        <v>-2</v>
      </c>
    </row>
    <row r="137" spans="1:10" x14ac:dyDescent="0.2">
      <c r="B137" s="9">
        <f>SUM(B136)</f>
        <v>0</v>
      </c>
      <c r="C137" s="9">
        <f t="shared" ref="C137:J137" si="10">SUM(C136)</f>
        <v>0</v>
      </c>
      <c r="D137" s="9">
        <f t="shared" si="10"/>
        <v>0</v>
      </c>
      <c r="E137" s="9">
        <f t="shared" si="10"/>
        <v>0</v>
      </c>
      <c r="F137" s="9">
        <f t="shared" si="10"/>
        <v>0</v>
      </c>
      <c r="G137" s="9">
        <f t="shared" si="10"/>
        <v>2</v>
      </c>
      <c r="H137" s="9">
        <f t="shared" si="10"/>
        <v>0</v>
      </c>
      <c r="I137" s="9">
        <f t="shared" si="10"/>
        <v>2</v>
      </c>
      <c r="J137" s="9">
        <f t="shared" si="10"/>
        <v>-2</v>
      </c>
    </row>
    <row r="141" spans="1:10" x14ac:dyDescent="0.2">
      <c r="A141" s="8" t="s">
        <v>32</v>
      </c>
      <c r="B141" t="s">
        <v>22</v>
      </c>
    </row>
    <row r="143" spans="1:10" x14ac:dyDescent="0.2">
      <c r="B143" s="1" t="s">
        <v>0</v>
      </c>
      <c r="C143" s="1" t="s">
        <v>1</v>
      </c>
      <c r="D143" s="1" t="s">
        <v>2</v>
      </c>
      <c r="E143" s="1" t="s">
        <v>3</v>
      </c>
      <c r="F143" s="1" t="s">
        <v>13</v>
      </c>
      <c r="G143" s="1" t="s">
        <v>14</v>
      </c>
      <c r="H143" s="1" t="s">
        <v>4</v>
      </c>
      <c r="I143" s="1" t="s">
        <v>5</v>
      </c>
      <c r="J143" s="1" t="s">
        <v>6</v>
      </c>
    </row>
    <row r="144" spans="1:10" x14ac:dyDescent="0.2"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6">
        <v>0</v>
      </c>
      <c r="I144" s="4">
        <v>0</v>
      </c>
      <c r="J144" s="4">
        <v>0</v>
      </c>
    </row>
    <row r="145" spans="1:10" x14ac:dyDescent="0.2">
      <c r="B145" s="4">
        <v>3</v>
      </c>
      <c r="C145" s="4">
        <v>0</v>
      </c>
      <c r="D145" s="4">
        <v>1</v>
      </c>
      <c r="E145" s="4">
        <v>1</v>
      </c>
      <c r="F145" s="4">
        <v>0</v>
      </c>
      <c r="G145" s="4">
        <v>0</v>
      </c>
      <c r="H145" s="4" t="s">
        <v>8</v>
      </c>
      <c r="I145" s="4">
        <v>1</v>
      </c>
      <c r="J145" s="4">
        <v>4</v>
      </c>
    </row>
    <row r="146" spans="1:10" x14ac:dyDescent="0.2"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6">
        <v>0</v>
      </c>
      <c r="I146" s="4">
        <v>0</v>
      </c>
      <c r="J146" s="4">
        <v>0</v>
      </c>
    </row>
    <row r="147" spans="1:10" x14ac:dyDescent="0.2">
      <c r="B147" s="9">
        <f>SUM(B144:B146)</f>
        <v>3</v>
      </c>
      <c r="C147" s="9">
        <f t="shared" ref="C147:J147" si="11">SUM(C144:C146)</f>
        <v>0</v>
      </c>
      <c r="D147" s="9">
        <f t="shared" si="11"/>
        <v>1</v>
      </c>
      <c r="E147" s="9">
        <f t="shared" si="11"/>
        <v>1</v>
      </c>
      <c r="F147" s="9">
        <f t="shared" si="11"/>
        <v>0</v>
      </c>
      <c r="G147" s="9">
        <f t="shared" si="11"/>
        <v>0</v>
      </c>
      <c r="H147" s="9">
        <f t="shared" si="11"/>
        <v>0</v>
      </c>
      <c r="I147" s="9">
        <f t="shared" si="11"/>
        <v>1</v>
      </c>
      <c r="J147" s="9">
        <f t="shared" si="11"/>
        <v>4</v>
      </c>
    </row>
    <row r="150" spans="1:10" x14ac:dyDescent="0.2">
      <c r="A150" s="8" t="s">
        <v>33</v>
      </c>
    </row>
    <row r="152" spans="1:10" x14ac:dyDescent="0.2">
      <c r="B152" s="1" t="s">
        <v>0</v>
      </c>
      <c r="C152" s="1" t="s">
        <v>1</v>
      </c>
      <c r="D152" s="1" t="s">
        <v>2</v>
      </c>
      <c r="E152" s="1" t="s">
        <v>3</v>
      </c>
      <c r="F152" s="1" t="s">
        <v>13</v>
      </c>
      <c r="G152" s="1" t="s">
        <v>14</v>
      </c>
      <c r="H152" s="1" t="s">
        <v>4</v>
      </c>
      <c r="I152" s="1" t="s">
        <v>5</v>
      </c>
      <c r="J152" s="1" t="s">
        <v>6</v>
      </c>
    </row>
    <row r="153" spans="1:10" x14ac:dyDescent="0.2"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11" t="s">
        <v>8</v>
      </c>
      <c r="I153" s="4">
        <v>1</v>
      </c>
      <c r="J153" s="4">
        <v>0</v>
      </c>
    </row>
    <row r="154" spans="1:10" x14ac:dyDescent="0.2"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6">
        <v>0</v>
      </c>
      <c r="I154" s="4">
        <v>0</v>
      </c>
      <c r="J154" s="4">
        <v>0</v>
      </c>
    </row>
    <row r="155" spans="1:10" x14ac:dyDescent="0.2">
      <c r="B155" s="9">
        <f>SUM(B153:B154)</f>
        <v>0</v>
      </c>
      <c r="C155" s="9">
        <f t="shared" ref="C155:J155" si="12">SUM(C153:C154)</f>
        <v>0</v>
      </c>
      <c r="D155" s="9">
        <f t="shared" si="12"/>
        <v>0</v>
      </c>
      <c r="E155" s="9">
        <f t="shared" si="12"/>
        <v>0</v>
      </c>
      <c r="F155" s="9">
        <f t="shared" si="12"/>
        <v>0</v>
      </c>
      <c r="G155" s="9">
        <f t="shared" si="12"/>
        <v>0</v>
      </c>
      <c r="H155" s="9">
        <f t="shared" si="12"/>
        <v>0</v>
      </c>
      <c r="I155" s="9">
        <f t="shared" si="12"/>
        <v>1</v>
      </c>
      <c r="J155" s="9">
        <f t="shared" si="12"/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Herzog</dc:creator>
  <cp:lastModifiedBy>Chris Herzog</cp:lastModifiedBy>
  <dcterms:created xsi:type="dcterms:W3CDTF">2025-12-23T09:35:40Z</dcterms:created>
  <dcterms:modified xsi:type="dcterms:W3CDTF">2025-12-23T11:57:24Z</dcterms:modified>
</cp:coreProperties>
</file>